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3f94e0844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" sheetId="1" r:id="R72c6e8957c7a4b33"/>
    <x:sheet xmlns:r="http://schemas.openxmlformats.org/officeDocument/2006/relationships" name="GUIA" sheetId="2" r:id="R7e06547de7bd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000"/>
    <x:numFmt numFmtId="202" formatCode="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5"/>
      <x:color rgb="FF1F2937"/>
      <x:name val="Arial"/>
    </x:font>
    <x:font>
      <x:i/>
      <x:sz val="10"/>
      <x:color rgb="FF52616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2F5F7"/>
      </x:patternFill>
    </x:fill>
    <x:fill>
      <x:patternFill patternType="solid">
        <x:fgColor rgb="FFE8EEF2"/>
      </x:patternFill>
    </x:fill>
  </x:fills>
  <x:borders count="2">
    <x:border/>
    <x:border>
      <x:bottom style="thin">
        <x:color rgb="FFB9C8C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956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3575e046d4452" /><Relationship Type="http://schemas.openxmlformats.org/officeDocument/2006/relationships/theme" Target="/xl/theme/theme1.xml" Id="Rc6427ee1ff26418a" /><Relationship Type="http://schemas.openxmlformats.org/officeDocument/2006/relationships/sharedStrings" Target="/xl/sharedStrings.xml" Id="Reaf3e7b454c74655" /><Relationship Type="http://schemas.openxmlformats.org/officeDocument/2006/relationships/worksheet" Target="/xl/worksheets/sheet1.xml" Id="R72c6e8957c7a4b33" /><Relationship Type="http://schemas.openxmlformats.org/officeDocument/2006/relationships/worksheet" Target="/xl/worksheets/sheet2.xml" Id="R7e06547de7bd4e05" /></Relationships>
</file>

<file path=xl/tables/table1.xml><?xml version="1.0" encoding="utf-8"?>
<x:table xmlns:x="http://schemas.openxmlformats.org/spreadsheetml/2006/main" id="1" name="CasosRetoSintetico" displayName="CasosRetoSintetico" ref="A1:J13" headerRowCount="1" totalsRowCount="0" totalsRowShown="0">
  <x:tableColumns count="10">
    <x:tableColumn id="1" name="complaint_id"/>
    <x:tableColumn id="2" name="location_original"/>
    <x:tableColumn id="3" name="ubigeo"/>
    <x:tableColumn id="4" name="district"/>
    <x:tableColumn id="5" name="door_number"/>
    <x:tableColumn id="6" name="block_number"/>
    <x:tableColumn id="7" name="latitude"/>
    <x:tableColumn id="8" name="longitude"/>
    <x:tableColumn id="9" name="coordinate_origin"/>
    <x:tableColumn id="10" name="c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ac74df5c734e1d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61" hidden="0" customWidth="1"/>
    <x:col min="3" max="3" width="11" hidden="0" customWidth="1"/>
    <x:col min="4" max="4" width="28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24" hidden="0" customWidth="1"/>
    <x:col min="10" max="10" width="15" hidden="0" customWidth="1"/>
  </x:cols>
  <x:sheetData>
    <x:row r="1" ht="32" customHeight="1">
      <x:c r="A1" s="7" t="str">
        <x:v>complaint_id</x:v>
      </x:c>
      <x:c r="B1" s="7" t="str">
        <x:v>location_original</x:v>
      </x:c>
      <x:c r="C1" s="7" t="str">
        <x:v>ubigeo</x:v>
      </x:c>
      <x:c r="D1" s="7" t="str">
        <x:v>district</x:v>
      </x:c>
      <x:c r="E1" s="7" t="str">
        <x:v>door_number</x:v>
      </x:c>
      <x:c r="F1" s="7" t="str">
        <x:v>block_number</x:v>
      </x:c>
      <x:c r="G1" s="7" t="str">
        <x:v>latitude</x:v>
      </x:c>
      <x:c r="H1" s="7" t="str">
        <x:v>longitude</x:v>
      </x:c>
      <x:c r="I1" s="7" t="str">
        <x:v>coordinate_origin</x:v>
      </x:c>
      <x:c r="J1" s="7" t="str">
        <x:v>crs</x:v>
      </x:c>
    </x:row>
    <x:row r="2" ht="40" customHeight="1">
      <x:c r="A2" s="9" t="str">
        <x:v>DEMO-RETO-01</x:v>
      </x:c>
      <x:c r="B2" s="10" t="str">
        <x:v>  av.   órbita   lúmica   120  </x:v>
      </x:c>
      <x:c r="C2" s="9" t="str">
        <x:v>999901</x:v>
      </x:c>
      <x:c r="D2" s="9" t="str">
        <x:v>LABORATORIO FICTICIO</x:v>
      </x:c>
      <x:c r="E2" s="9" t="str"/>
      <x:c r="F2" s="9" t="str"/>
      <x:c r="G2" s="9" t="str"/>
      <x:c r="H2" s="9" t="str"/>
      <x:c r="I2" s="9" t="str"/>
      <x:c r="J2" s="9" t="str">
        <x:v>EPSG:4326</x:v>
      </x:c>
    </x:row>
    <x:row r="3" ht="40" customHeight="1">
      <x:c r="A3" s="3" t="str">
        <x:v>DEMO-RETO-02</x:v>
      </x:c>
      <x:c r="B3" s="8" t="str">
        <x:v>CALLE 7 NRO. 0042</x:v>
      </x:c>
      <x:c r="C3" s="3" t="str">
        <x:v>999901</x:v>
      </x:c>
      <x:c r="D3" s="3" t="str">
        <x:v>LABORATORIO FICTICIO</x:v>
      </x:c>
      <x:c r="E3" s="11" t="str">
        <x:v>0042</x:v>
      </x:c>
      <x:c r="F3" s="3" t="str"/>
      <x:c r="G3" s="3" t="str"/>
      <x:c r="H3" s="3" t="str"/>
      <x:c r="I3" s="3" t="str"/>
      <x:c r="J3" s="3" t="str">
        <x:v>EPSG:4326</x:v>
      </x:c>
    </x:row>
    <x:row r="4" ht="40" customHeight="1">
      <x:c r="A4" s="9" t="str">
        <x:v>DEMO-RETO-03</x:v>
      </x:c>
      <x:c r="B4" s="10" t="str">
        <x:v>psje. Nácar Delta 55</x:v>
      </x:c>
      <x:c r="C4" s="9" t="str">
        <x:v>999901</x:v>
      </x:c>
      <x:c r="D4" s="9" t="str">
        <x:v>LABORATORIO FICTICIO</x:v>
      </x:c>
      <x:c r="E4" s="9" t="str"/>
      <x:c r="F4" s="9" t="str">
        <x:v>NULL</x:v>
      </x:c>
      <x:c r="G4" s="9" t="str"/>
      <x:c r="H4" s="9" t="str"/>
      <x:c r="I4" s="9" t="str"/>
      <x:c r="J4" s="9" t="str">
        <x:v>EPSG:4326</x:v>
      </x:c>
    </x:row>
    <x:row r="5" ht="40" customHeight="1">
      <x:c r="A5" s="3" t="str">
        <x:v>DEMO-RETO-04</x:v>
      </x:c>
      <x:c r="B5" s="8" t="str">
        <x:v>JR. CUÁSAR NORTE CON AV. BRISA FÓTON</x:v>
      </x:c>
      <x:c r="C5" s="3" t="str">
        <x:v>999901</x:v>
      </x:c>
      <x:c r="D5" s="3" t="str">
        <x:v>LABORATORIO FICTICIO</x:v>
      </x:c>
      <x:c r="E5" s="3" t="str"/>
      <x:c r="F5" s="3" t="str"/>
      <x:c r="G5" s="3" t="str"/>
      <x:c r="H5" s="3" t="str"/>
      <x:c r="I5" s="3" t="str"/>
      <x:c r="J5" s="3" t="str">
        <x:v>EPSG:4326</x:v>
      </x:c>
    </x:row>
    <x:row r="6" ht="40" customHeight="1">
      <x:c r="A6" s="9" t="str">
        <x:v>DEMO-RETO-05</x:v>
      </x:c>
      <x:c r="B6" s="10" t="str">
        <x:v>PUNTO DE ENSAYO LAT: -12.105 LONG: -77.105</x:v>
      </x:c>
      <x:c r="C6" s="9" t="str">
        <x:v>999901</x:v>
      </x:c>
      <x:c r="D6" s="9" t="str">
        <x:v>LABORATORIO FICTICIO</x:v>
      </x:c>
      <x:c r="E6" s="9" t="str"/>
      <x:c r="F6" s="9" t="str"/>
      <x:c r="G6" s="9" t="str"/>
      <x:c r="H6" s="9" t="str"/>
      <x:c r="I6" s="9" t="str"/>
      <x:c r="J6" s="9" t="str">
        <x:v>EPSG:4326</x:v>
      </x:c>
    </x:row>
    <x:row r="7" ht="40" customHeight="1">
      <x:c r="A7" s="3" t="str">
        <x:v>DEMO-RETO-06</x:v>
      </x:c>
      <x:c r="B7" s="8" t="str">
        <x:v>PUNTO DMS 12° 6' 0" S 77° 6' 0" O</x:v>
      </x:c>
      <x:c r="C7" s="3" t="str">
        <x:v>999901</x:v>
      </x:c>
      <x:c r="D7" s="3" t="str">
        <x:v>LABORATORIO FICTICIO</x:v>
      </x:c>
      <x:c r="E7" s="3" t="str"/>
      <x:c r="F7" s="3" t="str"/>
      <x:c r="G7" s="3" t="str"/>
      <x:c r="H7" s="3" t="str"/>
      <x:c r="I7" s="3" t="str"/>
      <x:c r="J7" s="3" t="str">
        <x:v>EPSG:4326</x:v>
      </x:c>
    </x:row>
    <x:row r="8" ht="40" customHeight="1">
      <x:c r="A8" s="9" t="str">
        <x:v>DEMO-RETO-07</x:v>
      </x:c>
      <x:c r="B8" s="10" t="str">
        <x:v>MANZANA B LOTE 9</x:v>
      </x:c>
      <x:c r="C8" s="9" t="str">
        <x:v>999901</x:v>
      </x:c>
      <x:c r="D8" s="9" t="str">
        <x:v>LABORATORIO FICTICIO</x:v>
      </x:c>
      <x:c r="E8" s="9" t="str"/>
      <x:c r="F8" s="9" t="str"/>
      <x:c r="G8" s="9" t="str">
        <x:v>-12.107</x:v>
      </x:c>
      <x:c r="H8" s="9" t="str">
        <x:v>-77.107</x:v>
      </x:c>
      <x:c r="I8" s="9" t="str">
        <x:v>PNP_ORIGINAL</x:v>
      </x:c>
      <x:c r="J8" s="9" t="str">
        <x:v>EPSG:4326</x:v>
      </x:c>
    </x:row>
    <x:row r="9" ht="40" customHeight="1">
      <x:c r="A9" s="3" t="str">
        <x:v>DEMO-RETO-08</x:v>
      </x:c>
      <x:c r="B9" s="8" t="str">
        <x:v>avda. Prisma Gemelo 88-A</x:v>
      </x:c>
      <x:c r="C9" s="3" t="str">
        <x:v>999901</x:v>
      </x:c>
      <x:c r="D9" s="3" t="str">
        <x:v>LABORATORIO FICTICIO</x:v>
      </x:c>
      <x:c r="E9" s="3" t="str"/>
      <x:c r="F9" s="3" t="str"/>
      <x:c r="G9" s="3" t="str"/>
      <x:c r="H9" s="3" t="str"/>
      <x:c r="I9" s="3" t="str"/>
      <x:c r="J9" s="3" t="str">
        <x:v>EPSG:4326</x:v>
      </x:c>
    </x:row>
    <x:row r="10" ht="40" customHeight="1">
      <x:c r="A10" s="9" t="str">
        <x:v>DEMO-RETO-09</x:v>
      </x:c>
      <x:c r="B10" s="10" t="str">
        <x:v>CALLE ECO DOBLE 30</x:v>
      </x:c>
      <x:c r="C10" s="9" t="str">
        <x:v>999901</x:v>
      </x:c>
      <x:c r="D10" s="9" t="str">
        <x:v>LABORATORIO FICTICIO</x:v>
      </x:c>
      <x:c r="E10" s="9" t="str"/>
      <x:c r="F10" s="9" t="str"/>
      <x:c r="G10" s="9" t="str"/>
      <x:c r="H10" s="9" t="str"/>
      <x:c r="I10" s="9" t="str"/>
      <x:c r="J10" s="9" t="str">
        <x:v>EPSG:4326</x:v>
      </x:c>
    </x:row>
    <x:row r="11" ht="40" customHeight="1">
      <x:c r="A11" s="3" t="str">
        <x:v>DEMO-RETO-10</x:v>
      </x:c>
      <x:c r="B11" s="8" t="str">
        <x:v>AV. LABERINTO FOTÓNIKO 77</x:v>
      </x:c>
      <x:c r="C11" s="3" t="str">
        <x:v>999901</x:v>
      </x:c>
      <x:c r="D11" s="3" t="str">
        <x:v>LABORATORIO FICTICIO</x:v>
      </x:c>
      <x:c r="E11" s="3" t="str"/>
      <x:c r="F11" s="3" t="str"/>
      <x:c r="G11" s="3" t="str"/>
      <x:c r="H11" s="3" t="str"/>
      <x:c r="I11" s="3" t="str"/>
      <x:c r="J11" s="3" t="str">
        <x:v>EPSG:4326</x:v>
      </x:c>
    </x:row>
    <x:row r="12" ht="40" customHeight="1">
      <x:c r="A12" s="9" t="str">
        <x:v>DEMO-RETO-11</x:v>
      </x:c>
      <x:c r="B12" s="10" t="str">
        <x:v>PUNTO DE CONTROL EXTERIOR</x:v>
      </x:c>
      <x:c r="C12" s="9" t="str">
        <x:v>999901</x:v>
      </x:c>
      <x:c r="D12" s="9" t="str">
        <x:v>LABORATORIO FICTICIO</x:v>
      </x:c>
      <x:c r="E12" s="9" t="str"/>
      <x:c r="F12" s="9" t="str"/>
      <x:c r="G12" s="9" t="str">
        <x:v>-12.5</x:v>
      </x:c>
      <x:c r="H12" s="9" t="str">
        <x:v>-77.5</x:v>
      </x:c>
      <x:c r="I12" s="9" t="str">
        <x:v>PNP_ORIGINAL</x:v>
      </x:c>
      <x:c r="J12" s="9" t="str">
        <x:v>EPSG:4326</x:v>
      </x:c>
    </x:row>
    <x:row r="13" ht="40" customHeight="1">
      <x:c r="A13" s="3" t="str">
        <x:v>DEMO-RETO-12</x:v>
      </x:c>
      <x:c r="B13" s="8" t="str">
        <x:v>Av. Mosaico Lento cdra. 4</x:v>
      </x:c>
      <x:c r="C13" s="3" t="str">
        <x:v>999901</x:v>
      </x:c>
      <x:c r="D13" s="3" t="str">
        <x:v>LABORATORIO FICTICIO</x:v>
      </x:c>
      <x:c r="E13" s="3" t="str"/>
      <x:c r="F13" s="3" t="str"/>
      <x:c r="G13" s="3" t="str"/>
      <x:c r="H13" s="3" t="str"/>
      <x:c r="I13" s="3" t="str"/>
      <x:c r="J13" s="3" t="str">
        <x:v>EPSG:4326</x:v>
      </x:c>
    </x:row>
  </x:sheetData>
  <x:pageMargins left="0.7" right="0.7" top="0.75" bottom="0.75" header="0.3" footer="0.3"/>
  <x:tableParts count="1">
    <x:tablePart xmlns:r="http://schemas.openxmlformats.org/officeDocument/2006/relationships" r:id="R8eac74df5c734e1d"/>
  </x:tableParts>
</x:worksheet>
</file>

<file path=xl/worksheets/sheet2.xml><?xml version="1.0" encoding="utf-8"?>
<x:worksheet xmlns:x="http://schemas.openxmlformats.org/spreadsheetml/2006/main">
  <x:sheetPr>
    <x:tabColor rgb="FF7E8B95"/>
  </x:sheetPr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75" hidden="0" customWidth="1"/>
  </x:cols>
  <x:sheetData>
    <x:row r="1">
      <x:c r="A1" s="2"/>
      <x:c r="B1" s="2"/>
      <x:c r="C1" s="2"/>
      <x:c r="D1" s="2"/>
    </x:row>
    <x:row r="2" ht="27" customHeight="1">
      <x:c r="A2" s="12" t="str">
        <x:v>Reto corto de geocodificación</x:v>
      </x:c>
      <x:c r="B2" s="2"/>
      <x:c r="C2" s="2"/>
      <x:c r="D2" s="2"/>
    </x:row>
    <x:row r="3">
      <x:c r="A3" s="13"/>
      <x:c r="B3" s="13"/>
      <x:c r="C3" s="13"/>
      <x:c r="D3" s="13"/>
    </x:row>
    <x:row r="4">
      <x:c r="A4" s="14" t="str">
        <x:v>DEMO SINTÉTICA. Distrito, UBIGEO, direcciones y límite ficticios; sin uso operativo.</x:v>
      </x:c>
      <x:c r="B4" s="2"/>
      <x:c r="C4" s="2"/>
      <x:c r="D4" s="2"/>
    </x:row>
    <x:row r="5">
      <x:c r="A5" s="2"/>
      <x:c r="B5" s="2"/>
      <x:c r="C5" s="2"/>
      <x:c r="D5" s="2"/>
    </x:row>
    <x:row r="6" ht="27" customHeight="1">
      <x:c r="A6" s="15" t="str">
        <x:v>Automáticos esperados</x:v>
      </x:c>
      <x:c r="B6" s="17" t="n">
        <x:f>COUNTIFS(B13:B24,"Automático")</x:f>
        <x:v>8</x:v>
      </x:c>
      <x:c r="C6" s="15" t="str">
        <x:v>Pendientes esperados</x:v>
      </x:c>
      <x:c r="D6" s="17" t="n">
        <x:f>COUNTIFS(B13:B24,"Revisión")</x:f>
        <x:v>4</x:v>
      </x:c>
    </x:row>
    <x:row r="7">
      <x:c r="A7" s="2"/>
      <x:c r="B7" s="2"/>
      <x:c r="C7" s="2"/>
      <x:c r="D7" s="2"/>
    </x:row>
    <x:row r="8" ht="24" customHeight="1">
      <x:c r="A8" s="2" t="str">
        <x:v>1. Importa catalogo_reto_sintetico.geojson en Catálogos de referencia.</x:v>
      </x:c>
      <x:c r="B8" s="2"/>
      <x:c r="C8" s="2"/>
      <x:c r="D8" s="2"/>
    </x:row>
    <x:row r="9" ht="24" customHeight="1">
      <x:c r="A9" s="2" t="str">
        <x:v>2. Carga este Excel, selecciona Casos, el catálogo del reto y EPSG:4326.</x:v>
      </x:c>
      <x:c r="B9" s="2"/>
      <x:c r="C9" s="2"/>
      <x:c r="D9" s="2"/>
    </x:row>
    <x:row r="10" ht="24" customHeight="1">
      <x:c r="A10" s="2" t="str">
        <x:v>3. Compara los 12 resultados. Los casos 09–12 deben conservarse pendientes; no aprobarlos para cumplir la prueba.</x:v>
      </x:c>
      <x:c r="B10" s="2"/>
      <x:c r="C10" s="2"/>
      <x:c r="D10" s="2"/>
    </x:row>
    <x:row r="11">
      <x:c r="A11" s="2"/>
      <x:c r="B11" s="2"/>
      <x:c r="C11" s="2"/>
      <x:c r="D11" s="2"/>
    </x:row>
    <x:row r="12" ht="28" customHeight="1">
      <x:c r="A12" s="21" t="str">
        <x:v>Caso</x:v>
      </x:c>
      <x:c r="B12" s="21" t="str">
        <x:v>Esperado</x:v>
      </x:c>
      <x:c r="C12" s="21" t="str">
        <x:v>Método</x:v>
      </x:c>
      <x:c r="D12" s="21" t="str">
        <x:v>Qué pone a prueba</x:v>
      </x:c>
    </x:row>
    <x:row r="13" ht="40" customHeight="1">
      <x:c r="A13" s="23" t="str">
        <x:v>DEMO-RETO-01</x:v>
      </x:c>
      <x:c r="B13" s="23" t="str">
        <x:v>Automático</x:v>
      </x:c>
      <x:c r="C13" s="24" t="str">
        <x:v>PUERTA_CON_TIPO</x:v>
      </x:c>
      <x:c r="D13" s="24" t="str">
        <x:v>Mayúsculas, tildes, espacios repetidos y abreviatura de avenida</x:v>
      </x:c>
    </x:row>
    <x:row r="14" ht="40" customHeight="1">
      <x:c r="A14" s="2" t="str">
        <x:v>DEMO-RETO-02</x:v>
      </x:c>
      <x:c r="B14" s="2" t="str">
        <x:v>Automático</x:v>
      </x:c>
      <x:c r="C14" s="22" t="str">
        <x:v>PUERTA_CON_TIPO</x:v>
      </x:c>
      <x:c r="D14" s="22" t="str">
        <x:v>Nombre de vía numérico 7 y puerta 0042 conservada como texto</x:v>
      </x:c>
    </x:row>
    <x:row r="15" ht="40" customHeight="1">
      <x:c r="A15" s="23" t="str">
        <x:v>DEMO-RETO-03</x:v>
      </x:c>
      <x:c r="B15" s="23" t="str">
        <x:v>Automático</x:v>
      </x:c>
      <x:c r="C15" s="24" t="str">
        <x:v>PUERTA_CON_TIPO</x:v>
      </x:c>
      <x:c r="D15" s="24" t="str">
        <x:v>Abreviatura de pasaje y sentinela NULL en cuadra sin falso aviso de invalidez</x:v>
      </x:c>
    </x:row>
    <x:row r="16" ht="40" customHeight="1">
      <x:c r="A16" s="2" t="str">
        <x:v>DEMO-RETO-04</x:v>
      </x:c>
      <x:c r="B16" s="2" t="str">
        <x:v>Automático</x:v>
      </x:c>
      <x:c r="C16" s="22" t="str">
        <x:v>CRUCE</x:v>
      </x:c>
      <x:c r="D16" s="22" t="str">
        <x:v>Cruce con orden de vías invertido respecto del catálogo y conexión a nivel confirmada</x:v>
      </x:c>
    </x:row>
    <x:row r="17" ht="40" customHeight="1">
      <x:c r="A17" s="23" t="str">
        <x:v>DEMO-RETO-05</x:v>
      </x:c>
      <x:c r="B17" s="23" t="str">
        <x:v>Automático</x:v>
      </x:c>
      <x:c r="C17" s="24" t="str">
        <x:v>COORD_TEXTO</x:v>
      </x:c>
      <x:c r="D17" s="24" t="str">
        <x:v>Par decimal etiquetado extraído del texto y corroborado por el límite</x:v>
      </x:c>
    </x:row>
    <x:row r="18" ht="40" customHeight="1">
      <x:c r="A18" s="2" t="str">
        <x:v>DEMO-RETO-06</x:v>
      </x:c>
      <x:c r="B18" s="2" t="str">
        <x:v>Automático</x:v>
      </x:c>
      <x:c r="C18" s="22" t="str">
        <x:v>COORD_TEXTO</x:v>
      </x:c>
      <x:c r="D18" s="22" t="str">
        <x:v>Coordenadas DMS con hemisferios S/O dentro del límite ficticio</x:v>
      </x:c>
    </x:row>
    <x:row r="19" ht="40" customHeight="1">
      <x:c r="A19" s="23" t="str">
        <x:v>DEMO-RETO-07</x:v>
      </x:c>
      <x:c r="B19" s="23" t="str">
        <x:v>Automático</x:v>
      </x:c>
      <x:c r="C19" s="24" t="str">
        <x:v>COORD_ORIGINAL</x:v>
      </x:c>
      <x:c r="D19" s="24" t="str">
        <x:v>Coordenada original validada independientemente de dirección manzana/lote</x:v>
      </x:c>
    </x:row>
    <x:row r="20" ht="40" customHeight="1">
      <x:c r="A20" s="2" t="str">
        <x:v>DEMO-RETO-08</x:v>
      </x:c>
      <x:c r="B20" s="2" t="str">
        <x:v>Automático</x:v>
      </x:c>
      <x:c r="C20" s="22" t="str">
        <x:v>PUERTA_CON_TIPO</x:v>
      </x:c>
      <x:c r="D20" s="22" t="str">
        <x:v>Dos evidencias exactas del mismo punto/método/precisión, sin descartar procedencias</x:v>
      </x:c>
    </x:row>
    <x:row r="21" ht="40" customHeight="1">
      <x:c r="A21" s="23" t="str">
        <x:v>DEMO-RETO-09</x:v>
      </x:c>
      <x:c r="B21" s="23" t="str">
        <x:v>Revisión</x:v>
      </x:c>
      <x:c r="C21" s="24" t="str">
        <x:v>PUERTA_CON_TIPO</x:v>
      </x:c>
      <x:c r="D21" s="24" t="str">
        <x:v>Dos puntos distintos para los mismos componentes: ambigüedad que requiere revisión</x:v>
      </x:c>
    </x:row>
    <x:row r="22" ht="40" customHeight="1">
      <x:c r="A22" s="2" t="str">
        <x:v>DEMO-RETO-10</x:v>
      </x:c>
      <x:c r="B22" s="2" t="str">
        <x:v>Revisión</x:v>
      </x:c>
      <x:c r="C22" s="22" t="str">
        <x:v>PUERTA_CON_TIPO</x:v>
      </x:c>
      <x:c r="D22" s="22" t="str">
        <x:v>Error ortográfico FOTONIKO/FOTONICO: similitud no equivale a exactitud</x:v>
      </x:c>
    </x:row>
    <x:row r="23" ht="40" customHeight="1">
      <x:c r="A23" s="23" t="str">
        <x:v>DEMO-RETO-11</x:v>
      </x:c>
      <x:c r="B23" s="23" t="str">
        <x:v>Revisión</x:v>
      </x:c>
      <x:c r="C23" s="24" t="str">
        <x:v>COORD_ORIGINAL</x:v>
      </x:c>
      <x:c r="D23" s="24" t="str">
        <x:v>Coordenada original válida numéricamente pero fuera del límite declarado</x:v>
      </x:c>
    </x:row>
    <x:row r="24" ht="40" customHeight="1">
      <x:c r="A24" s="2" t="str">
        <x:v>DEMO-RETO-12</x:v>
      </x:c>
      <x:c r="B24" s="2" t="str">
        <x:v>Revisión</x:v>
      </x:c>
      <x:c r="C24" s="22" t="str">
        <x:v>CUADRA_CON_TIPO</x:v>
      </x:c>
      <x:c r="D24" s="22" t="str">
        <x:v>Cuadra con punto representativo: precisión aproximada, no puerta exacta</x:v>
      </x:c>
    </x:row>
    <x:row r="25">
      <x:c r="A25" s="2"/>
      <x:c r="B25" s="2"/>
      <x:c r="C25" s="2"/>
      <x:c r="D25" s="2"/>
    </x:row>
    <x:row r="26">
      <x:c r="A26" s="14" t="str">
        <x:v>Reglas 2026.2. Guía de resultados esperados, no medición de exactitud sobre datos reales.</x:v>
      </x:c>
      <x:c r="B26" s="2"/>
      <x:c r="C26" s="2"/>
      <x:c r="D26" s="2"/>
    </x:row>
  </x:sheetData>
  <x:conditionalFormatting sqref="B13:B24">
    <x:cfRule type="containsText" dxfId="0" priority="1" operator="containsText" text="Revisión"/>
  </x:conditionalFormatting>
  <x:pageMargins left="0.7" right="0.7" top="0.75" bottom="0.75" header="0.3" footer="0.3"/>
</x:worksheet>
</file>